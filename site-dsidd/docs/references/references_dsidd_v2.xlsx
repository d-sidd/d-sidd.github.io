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u\d-sidd Dropbox\Equipe\sites internet\Site rmarkdown\site-dsidd\references\"/>
    </mc:Choice>
  </mc:AlternateContent>
  <xr:revisionPtr revIDLastSave="0" documentId="13_ncr:1_{FE56C90A-629C-463D-8642-874596701DEC}" xr6:coauthVersionLast="47" xr6:coauthVersionMax="47" xr10:uidLastSave="{00000000-0000-0000-0000-000000000000}"/>
  <bookViews>
    <workbookView xWindow="43080" yWindow="-120" windowWidth="29040" windowHeight="15720" xr2:uid="{8A1639DB-56E8-489A-8363-79F7F85173AB}"/>
  </bookViews>
  <sheets>
    <sheet name="Feuil1" sheetId="1" r:id="rId1"/>
  </sheets>
  <definedNames>
    <definedName name="_xlnm._FilterDatabase" localSheetId="0" hidden="1">Feuil1!$A$1:$W$59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G55" i="1"/>
  <c r="G51" i="1"/>
  <c r="G48" i="1"/>
  <c r="G45" i="1"/>
  <c r="F3" i="1"/>
  <c r="F4" i="1"/>
  <c r="F5" i="1"/>
  <c r="F6" i="1"/>
  <c r="F7" i="1"/>
  <c r="F8" i="1"/>
  <c r="F11" i="1"/>
  <c r="F12" i="1"/>
  <c r="F13" i="1"/>
  <c r="F14" i="1"/>
  <c r="F15" i="1"/>
  <c r="F16" i="1"/>
  <c r="F18" i="1"/>
  <c r="F19" i="1"/>
  <c r="F20" i="1"/>
  <c r="F21" i="1"/>
  <c r="F22" i="1"/>
  <c r="F23" i="1"/>
  <c r="F24" i="1"/>
  <c r="F25" i="1"/>
  <c r="F26" i="1"/>
  <c r="F27" i="1"/>
  <c r="F29" i="1"/>
  <c r="F30" i="1"/>
  <c r="F31" i="1"/>
  <c r="F32" i="1"/>
  <c r="F33" i="1"/>
  <c r="F34" i="1"/>
  <c r="F36" i="1"/>
  <c r="F37" i="1"/>
  <c r="F38" i="1"/>
  <c r="F39" i="1"/>
  <c r="F41" i="1"/>
  <c r="F42" i="1"/>
  <c r="F2" i="1"/>
  <c r="G40" i="1"/>
</calcChain>
</file>

<file path=xl/sharedStrings.xml><?xml version="1.0" encoding="utf-8"?>
<sst xmlns="http://schemas.openxmlformats.org/spreadsheetml/2006/main" count="525" uniqueCount="174">
  <si>
    <t>Origine expérience</t>
  </si>
  <si>
    <t>Client final</t>
  </si>
  <si>
    <t>Partenaires</t>
  </si>
  <si>
    <t xml:space="preserve">Désignation de la référence               </t>
  </si>
  <si>
    <t>Année d’exécution</t>
  </si>
  <si>
    <t>num</t>
  </si>
  <si>
    <t>Montant HT</t>
  </si>
  <si>
    <t>Arnaud</t>
  </si>
  <si>
    <t>Emmanuelle</t>
  </si>
  <si>
    <t>Afficher Arnaud</t>
  </si>
  <si>
    <t>T_Emploi/ Formation</t>
  </si>
  <si>
    <t>start_dates</t>
  </si>
  <si>
    <t>end_dates</t>
  </si>
  <si>
    <t>Projets</t>
  </si>
  <si>
    <t>selec</t>
  </si>
  <si>
    <t>d-sidd</t>
  </si>
  <si>
    <t>Grand Narbonne</t>
  </si>
  <si>
    <t>Novascopia</t>
  </si>
  <si>
    <t>Diagnostic de la santé, la qualité de vie et du bien-être</t>
  </si>
  <si>
    <t>Oui</t>
  </si>
  <si>
    <t>x</t>
  </si>
  <si>
    <t>Région Auvergne-Rhône-Alpes</t>
  </si>
  <si>
    <t>Terre d'Avance</t>
  </si>
  <si>
    <t>Observatoire de la qualité de vie</t>
  </si>
  <si>
    <t>Département des Alpes-Maritimes</t>
  </si>
  <si>
    <t>La Pitaya</t>
  </si>
  <si>
    <t>Baromètre des activités de pleine nature</t>
  </si>
  <si>
    <t>Canet-en-Roussillon</t>
  </si>
  <si>
    <t>Territoire &amp; Sens</t>
  </si>
  <si>
    <t>Analyse des besoins sociaux</t>
  </si>
  <si>
    <t>Non</t>
  </si>
  <si>
    <t>Carqueiranne</t>
  </si>
  <si>
    <t>CEISS Consultants</t>
  </si>
  <si>
    <t>EID Méditerranée</t>
  </si>
  <si>
    <t>Enalys</t>
  </si>
  <si>
    <t>Observatoire sur la perception de la nuisance liée aux moustiques</t>
  </si>
  <si>
    <t>La Londe-les-Maures</t>
  </si>
  <si>
    <t>MedTrucks</t>
  </si>
  <si>
    <t>Application interactive dédiée à la lutte contre le désert médicaux</t>
  </si>
  <si>
    <t>2018 à 2020</t>
  </si>
  <si>
    <t>E-Meuse santé</t>
  </si>
  <si>
    <t>Diagnostic des déserts médicaux et modélisation de l’offre de téléconsultation</t>
  </si>
  <si>
    <t>2020 – 2023</t>
  </si>
  <si>
    <t>PARM</t>
  </si>
  <si>
    <t>IRAM</t>
  </si>
  <si>
    <t>Analyse du risque agricole pour l’IFAD Platform for Agricultural Risk Management</t>
  </si>
  <si>
    <t>Région Occitanie</t>
  </si>
  <si>
    <t>Diagnostic de l’offre d’accompagnement de l’ESS</t>
  </si>
  <si>
    <t>Loire Forez agglomération</t>
  </si>
  <si>
    <t>Logis-Cité, Oxalys</t>
  </si>
  <si>
    <t>Analyse des déterminants du choix de résidence des ménages</t>
  </si>
  <si>
    <t>Réseau Rural Français</t>
  </si>
  <si>
    <t>Boréal</t>
  </si>
  <si>
    <t>Automatisation du baromètre de la coopération LEADER</t>
  </si>
  <si>
    <t>Région Sud</t>
  </si>
  <si>
    <t>Indicateurs de suivi socio-économique stratégique</t>
  </si>
  <si>
    <t>SIAO 13</t>
  </si>
  <si>
    <t>Étude sur la mise en cohérence des fonctionnements du Services Intégré d'Accueil et d'Orientation (SIAO) avec les exigences du Logement d'Abord</t>
  </si>
  <si>
    <t>AID Observatoire</t>
  </si>
  <si>
    <t>Expérience professionnelle au sein du cabinet AID Observatoire</t>
  </si>
  <si>
    <t>Analyse des flux de consommation des ménages sur plusieurs dizaines de territoires</t>
  </si>
  <si>
    <t>2008 à 2010</t>
  </si>
  <si>
    <t>n.c</t>
  </si>
  <si>
    <t>Expérience professionnelle au sein du cabinet CRT Bretagne</t>
  </si>
  <si>
    <t xml:space="preserve">Tourisme durable :  Impact économique, environnemental et social du tourisme sur les destinations bretonnes </t>
  </si>
  <si>
    <t>Cantal</t>
  </si>
  <si>
    <t>Evaluation du poids économique de la pêche dans le cantal</t>
  </si>
  <si>
    <t>Région Nouvelle-Aquitaine</t>
  </si>
  <si>
    <t>terre d'Avance</t>
  </si>
  <si>
    <t>Evaluation du poids économique de la pêche en Nouvelle-Aquitaine</t>
  </si>
  <si>
    <t>Région Pays de la Loire</t>
  </si>
  <si>
    <t>Evaluation du poids économique de la pêche en Pays de la Loire</t>
  </si>
  <si>
    <t>ANCT - PETR Centre-Ouest Aveyron</t>
  </si>
  <si>
    <t>Diagnostic des flux et des interactions interterritoriales</t>
  </si>
  <si>
    <t>CNRS</t>
  </si>
  <si>
    <t>Data Terra, Chrysalide</t>
  </si>
  <si>
    <t>Cartographie des activités de valorisation non académique des chercheurs</t>
  </si>
  <si>
    <t>ANCT – Région Sud</t>
  </si>
  <si>
    <t>Teriteo</t>
  </si>
  <si>
    <t>Elaboration d’outils nationaux liés à la gouvernance et à la mise en œuvre des fonds européens</t>
  </si>
  <si>
    <t>Clean Atlantic, Union Européenne</t>
  </si>
  <si>
    <t>Cedre</t>
  </si>
  <si>
    <t>Collecte et traitement des données sur la collecte, le traitement et la valorisation des déchets marins sur le littoral atlantique</t>
  </si>
  <si>
    <t xml:space="preserve">Ministère de la Pêche et de l’Economie Maritime de Guinée - AFD </t>
  </si>
  <si>
    <t>Tero</t>
  </si>
  <si>
    <t>Etude d’impact du projet PISCOFAM</t>
  </si>
  <si>
    <t>DREAL Occitanie</t>
  </si>
  <si>
    <t>Structuration des données de suivi du Plan de Protection de l’Atmosphère de la zone urbaine de Nîmes</t>
  </si>
  <si>
    <t>A</t>
  </si>
  <si>
    <t>Cap Métiers – Nouvelle-Aquitaine</t>
  </si>
  <si>
    <t>TERRITEC</t>
  </si>
  <si>
    <t>Optimisation d’un outil de projections macro-économiques par métier à moyen terme</t>
  </si>
  <si>
    <t>2022-2023</t>
  </si>
  <si>
    <t>D-SIDD</t>
  </si>
  <si>
    <t>Applications interactives et libres de diagnostic d’accessibilité aux circuits-courts, aux tiers-lieux et végétalisation de l’espace urbain</t>
  </si>
  <si>
    <t>Accès libre</t>
  </si>
  <si>
    <t>Région Centre-Val-de-Loire</t>
  </si>
  <si>
    <t>Dowel Stratégie</t>
  </si>
  <si>
    <t>Analyse de la chaîne d’approvisionnement de la restauration collective et réalisation d’une application interactive collaborative</t>
  </si>
  <si>
    <t>CC du Grand Pic Saint Loup</t>
  </si>
  <si>
    <t>CIVAM-LR</t>
  </si>
  <si>
    <t>Mesure du potentiel de consommation en circuits courts</t>
  </si>
  <si>
    <t>Relais d’Entreprises</t>
  </si>
  <si>
    <t>Réalisation d’une application de mesure du potentiel de télétravail en France</t>
  </si>
  <si>
    <t>Mairie de Prades-le-Lez</t>
  </si>
  <si>
    <t>Prévision des effectifs scolaires</t>
  </si>
  <si>
    <t>Labex entreprendre</t>
  </si>
  <si>
    <t>Expérience professionnelle au sein du Labex Entreprendre, Université de Montpellier</t>
  </si>
  <si>
    <t>How do research-based start-ups overcome the Valley of Death?. Bessiere, Veronique &amp; Gomez Breysse, Marie &amp; Messeghem, Karim &amp; Milet, Arnaud &amp; Sammut, Sylvie.</t>
  </si>
  <si>
    <t>DDETS du Var</t>
  </si>
  <si>
    <t>Logis-Cité</t>
  </si>
  <si>
    <t>Diagnostic auprès des jeunes sans abri dans le Var pour la DDETS du Var et le dispositif du SIAO</t>
  </si>
  <si>
    <t>2023-2024</t>
  </si>
  <si>
    <t>DDETS des Hautes-Alpes</t>
  </si>
  <si>
    <t>Logement social : Appui à la mise en conformité de
l’agglomération de Gap Tallard Durance avec la réforme
des attributions</t>
  </si>
  <si>
    <t>DREETS ARA</t>
  </si>
  <si>
    <t xml:space="preserve">Accompagnement de la plateforme d’appui aux transitions professionnelles portée par la PAME 74 </t>
  </si>
  <si>
    <t>CERC Ile de France</t>
  </si>
  <si>
    <t>Tableaux de bord emploi formation Bâtiment et Travaux publics région Ile de France</t>
  </si>
  <si>
    <t>Département Allier</t>
  </si>
  <si>
    <t>Mangove, Inkidata</t>
  </si>
  <si>
    <t xml:space="preserve">Cartographie interactive pour l’accompagnement au diagnostic stratégique préalable d’un pacte local des solidarités dans le département de l’Allier </t>
  </si>
  <si>
    <t>Métropole Montpellier et ses partenaires</t>
  </si>
  <si>
    <t>CERC Occitanie</t>
  </si>
  <si>
    <t>Observatoire de l' Immobilier d'Entreprise de Montpellier et son territoire Urbain</t>
  </si>
  <si>
    <t>2022, 2023, 2024 (en cours)</t>
  </si>
  <si>
    <t>Observatoire de l'Immobilier du Commerce Montpellier et son territoire Urbain</t>
  </si>
  <si>
    <t>Département des Alpes de Haute Provence</t>
  </si>
  <si>
    <t>Données de cadrage du plan départemental d'action pour le logement et l'hébergement des personnes défavorisées des Alpes de Hautes Provence</t>
  </si>
  <si>
    <t>ARGE</t>
  </si>
  <si>
    <t>Etude socioéconomique de la pêche de loisir et de son potentiel de développement en Région Grand Est</t>
  </si>
  <si>
    <t>B</t>
  </si>
  <si>
    <t>FRBTP Guadeloupe</t>
  </si>
  <si>
    <t>Etude prospective de la filière Construction en Guadeloupe</t>
  </si>
  <si>
    <t>CERC Occitanie, FFB Occitanie</t>
  </si>
  <si>
    <t>Mission d'appui Observatoire territorialisé Habitat et Foncier</t>
  </si>
  <si>
    <t>Région Bourgogne-Franche-Comte</t>
  </si>
  <si>
    <t>Aster Europe Conseil , Territeo</t>
  </si>
  <si>
    <t>Modélisation et conseil pour la mise en place de vérifications de gestion ciblées sur les risques dans le cadre du pilotage des fonds européens</t>
  </si>
  <si>
    <t>beta gouv</t>
  </si>
  <si>
    <t xml:space="preserve">Data Analyst pour la mission InserJeunes de beta.gouv </t>
  </si>
  <si>
    <t>FFB Ocitanie</t>
  </si>
  <si>
    <t>Traitement de données internes et cartographie</t>
  </si>
  <si>
    <t>Mission de structuration des indicateurs des Plans de Protection de l’Atmosphère de Montpellier, Nîmes et Toulouse</t>
  </si>
  <si>
    <t>Statistiques des métiers de la filière FIBOIS en Auvergne Rhônes-Alpes</t>
  </si>
  <si>
    <t>CA Gaillac-Graulhet</t>
  </si>
  <si>
    <t>Logis-Cité, AteliersUp+</t>
  </si>
  <si>
    <t xml:space="preserve">Données de cadrage pour étude urbaine pré-opérationnelle Commune de Briatexte </t>
  </si>
  <si>
    <t>Terre d'Avance, Enalys</t>
  </si>
  <si>
    <t>Fédération Nationale de la Pêche en France (FNFP)</t>
  </si>
  <si>
    <t>Etude socioéconomique de la pêche de loisir et de son potentiel de développement au niveau national (en cours)</t>
  </si>
  <si>
    <t>Commentaire</t>
  </si>
  <si>
    <t>CIRAD</t>
  </si>
  <si>
    <t>Outil d'appui à l'exploration d'une base de données d'indicateurs de 22 pays du Pacifique</t>
  </si>
  <si>
    <t xml:space="preserve">Maquettage et mise en forme graphique d’un rappor –Indicateurs clés de la
transition énergétique des bâtiments </t>
  </si>
  <si>
    <t>Optimisation d’un outil de projections macro-économiques par métier à moyen terme : mise à jour données d'input</t>
  </si>
  <si>
    <t>2023-2026</t>
  </si>
  <si>
    <t xml:space="preserve">Production d’outils numériques et dataviz </t>
  </si>
  <si>
    <t xml:space="preserve">Expertise des données socio-économique et des territoires </t>
  </si>
  <si>
    <t>Pilotage et suivi dans le temps</t>
  </si>
  <si>
    <t>Formation</t>
  </si>
  <si>
    <t>CRT Bretagne</t>
  </si>
  <si>
    <t>Multiple</t>
  </si>
  <si>
    <t>Confédération générale des SCOP</t>
  </si>
  <si>
    <t>Impact socio-économique des CAE en France</t>
  </si>
  <si>
    <t>Teritéo</t>
  </si>
  <si>
    <t>DGEFP</t>
  </si>
  <si>
    <t>Ministère de l'Agriculture et de la Souveraineté Alimentaire</t>
  </si>
  <si>
    <t>Evaluation Plan Stratégiques National (PSN) de la Politique Agricole Commune (PAC) 2023-2027</t>
  </si>
  <si>
    <t>Evaluation des parcours des participants du Fonds social européen (FSE et FSE+)</t>
  </si>
  <si>
    <t>Baromètre appui à la coopération des GAL LEADER (ACGL)</t>
  </si>
  <si>
    <t>T_Santé globale des territoires</t>
  </si>
  <si>
    <t>T_Développement économique et social</t>
  </si>
  <si>
    <t>T_Mesure d'impact &amp; modélisation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</si>
</sst>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  <xf numFmtId="0" fontId="3" fillId="0" borderId="0" xfId="0" applyFont="1"/>
    <xf numFmtId="14" fontId="0" fillId="0" borderId="0" xfId="0" applyNumberForma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B7FE-E50F-4A1F-B29E-52CC043F3381}">
  <dimension ref="A1:W59"/>
  <sheetViews>
    <sheetView tabSelected="1" zoomScale="75" zoomScaleNormal="75" workbookViewId="0">
      <pane ySplit="1" topLeftCell="A4" activePane="bottomLeft" state="frozen"/>
      <selection pane="bottomLeft" activeCell="L29" sqref="L29"/>
    </sheetView>
  </sheetViews>
  <sheetFormatPr baseColWidth="10" defaultColWidth="11.3984375" defaultRowHeight="14.25" x14ac:dyDescent="0.45"/>
  <cols>
    <col min="2" max="3" width="22.59765625" customWidth="1"/>
    <col min="4" max="4" width="71" customWidth="1"/>
    <col min="5" max="6" width="18" customWidth="1"/>
    <col min="7" max="7" width="11.86328125" customWidth="1"/>
    <col min="8" max="14" width="11.3984375" customWidth="1"/>
    <col min="15" max="15" width="14.73046875" customWidth="1"/>
    <col min="16" max="16" width="14.1328125" customWidth="1"/>
    <col min="17" max="19" width="11.3984375" customWidth="1"/>
  </cols>
  <sheetData>
    <row r="1" spans="1:23" ht="21" x14ac:dyDescent="0.6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171</v>
      </c>
      <c r="L1" s="3" t="s">
        <v>172</v>
      </c>
      <c r="M1" s="3" t="s">
        <v>10</v>
      </c>
      <c r="N1" s="3" t="s">
        <v>173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151</v>
      </c>
      <c r="T1" s="3" t="s">
        <v>157</v>
      </c>
      <c r="U1" s="3" t="s">
        <v>158</v>
      </c>
      <c r="V1" s="3" t="s">
        <v>159</v>
      </c>
      <c r="W1" s="3" t="s">
        <v>160</v>
      </c>
    </row>
    <row r="2" spans="1:23" x14ac:dyDescent="0.45">
      <c r="A2" t="s">
        <v>15</v>
      </c>
      <c r="B2" t="s">
        <v>16</v>
      </c>
      <c r="C2" t="s">
        <v>17</v>
      </c>
      <c r="D2" t="s">
        <v>18</v>
      </c>
      <c r="E2">
        <v>2017</v>
      </c>
      <c r="F2">
        <f>E2</f>
        <v>2017</v>
      </c>
      <c r="G2" s="1">
        <v>14000</v>
      </c>
      <c r="H2" t="s">
        <v>19</v>
      </c>
      <c r="J2" t="s">
        <v>19</v>
      </c>
      <c r="K2" t="s">
        <v>20</v>
      </c>
      <c r="T2" t="s">
        <v>20</v>
      </c>
      <c r="U2" t="s">
        <v>20</v>
      </c>
      <c r="V2" t="s">
        <v>20</v>
      </c>
    </row>
    <row r="3" spans="1:23" x14ac:dyDescent="0.45">
      <c r="A3" t="s">
        <v>15</v>
      </c>
      <c r="B3" t="s">
        <v>21</v>
      </c>
      <c r="C3" t="s">
        <v>22</v>
      </c>
      <c r="D3" t="s">
        <v>23</v>
      </c>
      <c r="E3">
        <v>2017</v>
      </c>
      <c r="F3">
        <f t="shared" ref="F3:F42" si="0">E3</f>
        <v>2017</v>
      </c>
      <c r="G3" s="1">
        <v>12000</v>
      </c>
      <c r="H3" t="s">
        <v>19</v>
      </c>
      <c r="J3" t="s">
        <v>19</v>
      </c>
      <c r="K3" t="s">
        <v>20</v>
      </c>
      <c r="T3" t="s">
        <v>20</v>
      </c>
      <c r="U3" t="s">
        <v>20</v>
      </c>
      <c r="V3" t="s">
        <v>20</v>
      </c>
    </row>
    <row r="4" spans="1:23" x14ac:dyDescent="0.45">
      <c r="A4" t="s">
        <v>15</v>
      </c>
      <c r="B4" t="s">
        <v>24</v>
      </c>
      <c r="C4" t="s">
        <v>25</v>
      </c>
      <c r="D4" t="s">
        <v>26</v>
      </c>
      <c r="E4">
        <v>2020</v>
      </c>
      <c r="F4">
        <f t="shared" si="0"/>
        <v>2020</v>
      </c>
      <c r="G4" s="1">
        <v>7550</v>
      </c>
      <c r="H4" t="s">
        <v>19</v>
      </c>
      <c r="J4" t="s">
        <v>19</v>
      </c>
      <c r="K4" t="s">
        <v>20</v>
      </c>
      <c r="T4" t="s">
        <v>20</v>
      </c>
      <c r="V4" t="s">
        <v>20</v>
      </c>
    </row>
    <row r="5" spans="1:23" x14ac:dyDescent="0.45">
      <c r="A5" t="s">
        <v>15</v>
      </c>
      <c r="B5" t="s">
        <v>27</v>
      </c>
      <c r="C5" t="s">
        <v>28</v>
      </c>
      <c r="D5" t="s">
        <v>29</v>
      </c>
      <c r="E5">
        <v>2021</v>
      </c>
      <c r="F5">
        <f t="shared" si="0"/>
        <v>2021</v>
      </c>
      <c r="G5" s="1">
        <v>2250</v>
      </c>
      <c r="H5" t="s">
        <v>19</v>
      </c>
      <c r="J5" t="s">
        <v>30</v>
      </c>
      <c r="K5" t="s">
        <v>20</v>
      </c>
      <c r="T5" t="s">
        <v>20</v>
      </c>
      <c r="U5" t="s">
        <v>20</v>
      </c>
    </row>
    <row r="6" spans="1:23" x14ac:dyDescent="0.45">
      <c r="A6" t="s">
        <v>15</v>
      </c>
      <c r="B6" t="s">
        <v>31</v>
      </c>
      <c r="C6" t="s">
        <v>32</v>
      </c>
      <c r="D6" t="s">
        <v>29</v>
      </c>
      <c r="E6">
        <v>2021</v>
      </c>
      <c r="F6">
        <f t="shared" si="0"/>
        <v>2021</v>
      </c>
      <c r="G6" s="1">
        <v>4500</v>
      </c>
      <c r="H6" t="s">
        <v>19</v>
      </c>
      <c r="J6" t="s">
        <v>30</v>
      </c>
      <c r="K6" t="s">
        <v>20</v>
      </c>
      <c r="T6" t="s">
        <v>20</v>
      </c>
      <c r="U6" t="s">
        <v>20</v>
      </c>
    </row>
    <row r="7" spans="1:23" x14ac:dyDescent="0.45">
      <c r="A7" t="s">
        <v>15</v>
      </c>
      <c r="B7" t="s">
        <v>33</v>
      </c>
      <c r="C7" t="s">
        <v>34</v>
      </c>
      <c r="D7" t="s">
        <v>35</v>
      </c>
      <c r="E7">
        <v>2021</v>
      </c>
      <c r="F7">
        <f t="shared" si="0"/>
        <v>2021</v>
      </c>
      <c r="G7" s="1">
        <v>1470</v>
      </c>
      <c r="H7" t="s">
        <v>19</v>
      </c>
      <c r="J7" t="s">
        <v>19</v>
      </c>
      <c r="K7" t="s">
        <v>20</v>
      </c>
      <c r="T7" t="s">
        <v>20</v>
      </c>
    </row>
    <row r="8" spans="1:23" x14ac:dyDescent="0.45">
      <c r="A8" t="s">
        <v>15</v>
      </c>
      <c r="B8" t="s">
        <v>36</v>
      </c>
      <c r="C8" t="s">
        <v>32</v>
      </c>
      <c r="D8" t="s">
        <v>29</v>
      </c>
      <c r="E8">
        <v>2022</v>
      </c>
      <c r="F8">
        <f t="shared" si="0"/>
        <v>2022</v>
      </c>
      <c r="G8" s="1">
        <v>4500</v>
      </c>
      <c r="H8" t="s">
        <v>19</v>
      </c>
      <c r="J8" t="s">
        <v>30</v>
      </c>
      <c r="K8" t="s">
        <v>20</v>
      </c>
      <c r="T8" t="s">
        <v>20</v>
      </c>
      <c r="U8" t="s">
        <v>20</v>
      </c>
    </row>
    <row r="9" spans="1:23" x14ac:dyDescent="0.45">
      <c r="A9" t="s">
        <v>15</v>
      </c>
      <c r="B9" t="s">
        <v>37</v>
      </c>
      <c r="D9" t="s">
        <v>38</v>
      </c>
      <c r="E9" t="s">
        <v>39</v>
      </c>
      <c r="F9">
        <v>2020</v>
      </c>
      <c r="G9" s="1">
        <v>5000</v>
      </c>
      <c r="H9" t="s">
        <v>19</v>
      </c>
      <c r="J9" t="s">
        <v>30</v>
      </c>
      <c r="K9" t="s">
        <v>20</v>
      </c>
      <c r="T9" t="s">
        <v>20</v>
      </c>
      <c r="U9" t="s">
        <v>20</v>
      </c>
    </row>
    <row r="10" spans="1:23" x14ac:dyDescent="0.45">
      <c r="A10" t="s">
        <v>15</v>
      </c>
      <c r="B10" t="s">
        <v>40</v>
      </c>
      <c r="C10" t="s">
        <v>37</v>
      </c>
      <c r="D10" t="s">
        <v>41</v>
      </c>
      <c r="E10" t="s">
        <v>42</v>
      </c>
      <c r="F10">
        <v>2023</v>
      </c>
      <c r="G10" s="1">
        <v>22000</v>
      </c>
      <c r="H10" t="s">
        <v>19</v>
      </c>
      <c r="J10" t="s">
        <v>19</v>
      </c>
      <c r="K10" t="s">
        <v>20</v>
      </c>
      <c r="T10" t="s">
        <v>20</v>
      </c>
      <c r="U10" t="s">
        <v>20</v>
      </c>
    </row>
    <row r="11" spans="1:23" x14ac:dyDescent="0.45">
      <c r="A11" t="s">
        <v>15</v>
      </c>
      <c r="B11" t="s">
        <v>43</v>
      </c>
      <c r="C11" t="s">
        <v>44</v>
      </c>
      <c r="D11" t="s">
        <v>45</v>
      </c>
      <c r="E11">
        <v>2016</v>
      </c>
      <c r="F11">
        <f t="shared" si="0"/>
        <v>2016</v>
      </c>
      <c r="G11" s="1">
        <v>6250</v>
      </c>
      <c r="H11" t="s">
        <v>19</v>
      </c>
      <c r="J11" t="s">
        <v>19</v>
      </c>
      <c r="L11" t="s">
        <v>20</v>
      </c>
      <c r="R11" t="s">
        <v>20</v>
      </c>
      <c r="U11" t="s">
        <v>20</v>
      </c>
    </row>
    <row r="12" spans="1:23" x14ac:dyDescent="0.45">
      <c r="A12" t="s">
        <v>15</v>
      </c>
      <c r="B12" t="s">
        <v>46</v>
      </c>
      <c r="C12" t="s">
        <v>22</v>
      </c>
      <c r="D12" t="s">
        <v>47</v>
      </c>
      <c r="E12">
        <v>2018</v>
      </c>
      <c r="F12">
        <f t="shared" si="0"/>
        <v>2018</v>
      </c>
      <c r="G12" s="1">
        <v>8000</v>
      </c>
      <c r="H12" t="s">
        <v>19</v>
      </c>
      <c r="J12" t="s">
        <v>19</v>
      </c>
      <c r="L12" t="s">
        <v>20</v>
      </c>
      <c r="T12" t="s">
        <v>20</v>
      </c>
      <c r="U12" t="s">
        <v>20</v>
      </c>
      <c r="V12" t="s">
        <v>20</v>
      </c>
    </row>
    <row r="13" spans="1:23" x14ac:dyDescent="0.45">
      <c r="A13" t="s">
        <v>15</v>
      </c>
      <c r="B13" t="s">
        <v>48</v>
      </c>
      <c r="C13" t="s">
        <v>49</v>
      </c>
      <c r="D13" t="s">
        <v>50</v>
      </c>
      <c r="E13">
        <v>2019</v>
      </c>
      <c r="F13">
        <f t="shared" si="0"/>
        <v>2019</v>
      </c>
      <c r="G13" s="1">
        <v>5000</v>
      </c>
      <c r="H13" t="s">
        <v>19</v>
      </c>
      <c r="J13" t="s">
        <v>19</v>
      </c>
      <c r="L13" t="s">
        <v>20</v>
      </c>
      <c r="R13" t="s">
        <v>20</v>
      </c>
      <c r="T13" t="s">
        <v>20</v>
      </c>
      <c r="U13" t="s">
        <v>20</v>
      </c>
    </row>
    <row r="14" spans="1:23" x14ac:dyDescent="0.45">
      <c r="A14" t="s">
        <v>15</v>
      </c>
      <c r="B14" t="s">
        <v>51</v>
      </c>
      <c r="C14" t="s">
        <v>52</v>
      </c>
      <c r="D14" t="s">
        <v>53</v>
      </c>
      <c r="E14">
        <v>2021</v>
      </c>
      <c r="F14">
        <f t="shared" si="0"/>
        <v>2021</v>
      </c>
      <c r="G14" s="1">
        <v>1875</v>
      </c>
      <c r="H14" t="s">
        <v>19</v>
      </c>
      <c r="J14" t="s">
        <v>19</v>
      </c>
      <c r="L14" t="s">
        <v>20</v>
      </c>
      <c r="T14" t="s">
        <v>20</v>
      </c>
    </row>
    <row r="15" spans="1:23" x14ac:dyDescent="0.45">
      <c r="A15" t="s">
        <v>15</v>
      </c>
      <c r="B15" t="s">
        <v>54</v>
      </c>
      <c r="C15" t="s">
        <v>22</v>
      </c>
      <c r="D15" t="s">
        <v>55</v>
      </c>
      <c r="E15">
        <v>2022</v>
      </c>
      <c r="F15">
        <f t="shared" si="0"/>
        <v>2022</v>
      </c>
      <c r="G15" s="1">
        <v>5250</v>
      </c>
      <c r="H15" t="s">
        <v>19</v>
      </c>
      <c r="J15" t="s">
        <v>19</v>
      </c>
      <c r="L15" t="s">
        <v>20</v>
      </c>
      <c r="T15" t="s">
        <v>20</v>
      </c>
      <c r="U15" t="s">
        <v>20</v>
      </c>
      <c r="V15" t="s">
        <v>20</v>
      </c>
    </row>
    <row r="16" spans="1:23" x14ac:dyDescent="0.45">
      <c r="A16" t="s">
        <v>15</v>
      </c>
      <c r="B16" t="s">
        <v>56</v>
      </c>
      <c r="C16" t="s">
        <v>28</v>
      </c>
      <c r="D16" t="s">
        <v>57</v>
      </c>
      <c r="E16">
        <v>2023</v>
      </c>
      <c r="F16">
        <f t="shared" si="0"/>
        <v>2023</v>
      </c>
      <c r="G16" s="1">
        <v>99610</v>
      </c>
      <c r="H16" t="s">
        <v>19</v>
      </c>
      <c r="J16" t="s">
        <v>19</v>
      </c>
      <c r="L16" t="s">
        <v>20</v>
      </c>
      <c r="U16" t="s">
        <v>20</v>
      </c>
      <c r="V16" t="s">
        <v>20</v>
      </c>
    </row>
    <row r="17" spans="1:23" x14ac:dyDescent="0.45">
      <c r="A17" t="s">
        <v>58</v>
      </c>
      <c r="B17" t="s">
        <v>162</v>
      </c>
      <c r="C17" t="s">
        <v>59</v>
      </c>
      <c r="D17" t="s">
        <v>60</v>
      </c>
      <c r="E17" t="s">
        <v>61</v>
      </c>
      <c r="F17">
        <v>2010</v>
      </c>
      <c r="G17" s="1" t="s">
        <v>62</v>
      </c>
      <c r="H17" t="s">
        <v>19</v>
      </c>
      <c r="J17" t="s">
        <v>19</v>
      </c>
      <c r="L17" t="s">
        <v>20</v>
      </c>
      <c r="U17" t="s">
        <v>20</v>
      </c>
    </row>
    <row r="18" spans="1:23" x14ac:dyDescent="0.45">
      <c r="A18" t="s">
        <v>15</v>
      </c>
      <c r="B18" t="s">
        <v>161</v>
      </c>
      <c r="C18" t="s">
        <v>63</v>
      </c>
      <c r="D18" t="s">
        <v>64</v>
      </c>
      <c r="E18">
        <v>2011</v>
      </c>
      <c r="F18">
        <f t="shared" si="0"/>
        <v>2011</v>
      </c>
      <c r="G18" s="1" t="s">
        <v>62</v>
      </c>
      <c r="H18" t="s">
        <v>19</v>
      </c>
      <c r="J18" t="s">
        <v>19</v>
      </c>
      <c r="N18" t="s">
        <v>20</v>
      </c>
      <c r="U18" t="s">
        <v>20</v>
      </c>
      <c r="V18" t="s">
        <v>20</v>
      </c>
    </row>
    <row r="19" spans="1:23" x14ac:dyDescent="0.45">
      <c r="A19" t="s">
        <v>15</v>
      </c>
      <c r="B19" t="s">
        <v>65</v>
      </c>
      <c r="C19" t="s">
        <v>22</v>
      </c>
      <c r="D19" t="s">
        <v>66</v>
      </c>
      <c r="E19">
        <v>2017</v>
      </c>
      <c r="F19">
        <f t="shared" si="0"/>
        <v>2017</v>
      </c>
      <c r="G19" s="1">
        <v>6400</v>
      </c>
      <c r="H19" t="s">
        <v>19</v>
      </c>
      <c r="J19" t="s">
        <v>30</v>
      </c>
      <c r="N19" t="s">
        <v>20</v>
      </c>
      <c r="R19" t="s">
        <v>20</v>
      </c>
      <c r="U19" t="s">
        <v>20</v>
      </c>
    </row>
    <row r="20" spans="1:23" x14ac:dyDescent="0.45">
      <c r="A20" t="s">
        <v>15</v>
      </c>
      <c r="B20" t="s">
        <v>67</v>
      </c>
      <c r="C20" t="s">
        <v>68</v>
      </c>
      <c r="D20" t="s">
        <v>69</v>
      </c>
      <c r="E20">
        <v>2018</v>
      </c>
      <c r="F20">
        <f t="shared" si="0"/>
        <v>2018</v>
      </c>
      <c r="G20" s="1">
        <v>10000</v>
      </c>
      <c r="H20" t="s">
        <v>19</v>
      </c>
      <c r="J20" t="s">
        <v>30</v>
      </c>
      <c r="N20" t="s">
        <v>20</v>
      </c>
      <c r="R20" t="s">
        <v>20</v>
      </c>
      <c r="U20" t="s">
        <v>20</v>
      </c>
    </row>
    <row r="21" spans="1:23" x14ac:dyDescent="0.45">
      <c r="A21" t="s">
        <v>15</v>
      </c>
      <c r="B21" t="s">
        <v>70</v>
      </c>
      <c r="C21" t="s">
        <v>22</v>
      </c>
      <c r="D21" t="s">
        <v>71</v>
      </c>
      <c r="E21">
        <v>2020</v>
      </c>
      <c r="F21">
        <f t="shared" si="0"/>
        <v>2020</v>
      </c>
      <c r="G21" s="1">
        <v>17640</v>
      </c>
      <c r="H21" t="s">
        <v>19</v>
      </c>
      <c r="J21" t="s">
        <v>30</v>
      </c>
      <c r="N21" t="s">
        <v>20</v>
      </c>
      <c r="U21" t="s">
        <v>20</v>
      </c>
    </row>
    <row r="22" spans="1:23" x14ac:dyDescent="0.45">
      <c r="A22" t="s">
        <v>15</v>
      </c>
      <c r="B22" t="s">
        <v>72</v>
      </c>
      <c r="C22" t="s">
        <v>22</v>
      </c>
      <c r="D22" t="s">
        <v>73</v>
      </c>
      <c r="E22">
        <v>2021</v>
      </c>
      <c r="F22">
        <f t="shared" si="0"/>
        <v>2021</v>
      </c>
      <c r="G22" s="1">
        <v>14000</v>
      </c>
      <c r="H22" t="s">
        <v>19</v>
      </c>
      <c r="J22" t="s">
        <v>19</v>
      </c>
      <c r="L22" t="s">
        <v>20</v>
      </c>
      <c r="U22" t="s">
        <v>20</v>
      </c>
      <c r="V22" t="s">
        <v>20</v>
      </c>
    </row>
    <row r="23" spans="1:23" x14ac:dyDescent="0.45">
      <c r="A23" t="s">
        <v>15</v>
      </c>
      <c r="B23" t="s">
        <v>74</v>
      </c>
      <c r="C23" t="s">
        <v>75</v>
      </c>
      <c r="D23" t="s">
        <v>76</v>
      </c>
      <c r="E23">
        <v>2021</v>
      </c>
      <c r="F23">
        <f t="shared" si="0"/>
        <v>2021</v>
      </c>
      <c r="G23" s="1">
        <v>3660</v>
      </c>
      <c r="H23" t="s">
        <v>19</v>
      </c>
      <c r="J23" t="s">
        <v>19</v>
      </c>
      <c r="N23" t="s">
        <v>20</v>
      </c>
      <c r="T23" t="s">
        <v>20</v>
      </c>
      <c r="U23" t="s">
        <v>20</v>
      </c>
    </row>
    <row r="24" spans="1:23" x14ac:dyDescent="0.45">
      <c r="A24" t="s">
        <v>15</v>
      </c>
      <c r="B24" t="s">
        <v>77</v>
      </c>
      <c r="C24" t="s">
        <v>78</v>
      </c>
      <c r="D24" t="s">
        <v>79</v>
      </c>
      <c r="E24">
        <v>2022</v>
      </c>
      <c r="F24">
        <f t="shared" si="0"/>
        <v>2022</v>
      </c>
      <c r="G24" s="1">
        <v>2250</v>
      </c>
      <c r="H24" t="s">
        <v>19</v>
      </c>
      <c r="J24" t="s">
        <v>19</v>
      </c>
      <c r="L24" t="s">
        <v>20</v>
      </c>
      <c r="R24" t="s">
        <v>20</v>
      </c>
      <c r="U24" t="s">
        <v>20</v>
      </c>
      <c r="V24" t="s">
        <v>20</v>
      </c>
    </row>
    <row r="25" spans="1:23" x14ac:dyDescent="0.45">
      <c r="A25" t="s">
        <v>15</v>
      </c>
      <c r="B25" t="s">
        <v>80</v>
      </c>
      <c r="C25" t="s">
        <v>81</v>
      </c>
      <c r="D25" t="s">
        <v>82</v>
      </c>
      <c r="E25">
        <v>2022</v>
      </c>
      <c r="F25">
        <f t="shared" si="0"/>
        <v>2022</v>
      </c>
      <c r="G25" s="1">
        <v>20000</v>
      </c>
      <c r="H25" t="s">
        <v>19</v>
      </c>
      <c r="J25" t="s">
        <v>19</v>
      </c>
      <c r="N25" t="s">
        <v>20</v>
      </c>
      <c r="U25" t="s">
        <v>20</v>
      </c>
    </row>
    <row r="26" spans="1:23" x14ac:dyDescent="0.45">
      <c r="A26" t="s">
        <v>15</v>
      </c>
      <c r="B26" t="s">
        <v>83</v>
      </c>
      <c r="C26" t="s">
        <v>84</v>
      </c>
      <c r="D26" t="s">
        <v>85</v>
      </c>
      <c r="E26">
        <v>2023</v>
      </c>
      <c r="F26">
        <f t="shared" si="0"/>
        <v>2023</v>
      </c>
      <c r="G26" s="1">
        <v>18000</v>
      </c>
      <c r="H26" t="s">
        <v>19</v>
      </c>
      <c r="J26" t="s">
        <v>19</v>
      </c>
      <c r="N26" t="s">
        <v>20</v>
      </c>
      <c r="U26" t="s">
        <v>20</v>
      </c>
    </row>
    <row r="27" spans="1:23" x14ac:dyDescent="0.45">
      <c r="A27" t="s">
        <v>15</v>
      </c>
      <c r="B27" t="s">
        <v>86</v>
      </c>
      <c r="D27" t="s">
        <v>87</v>
      </c>
      <c r="E27">
        <v>2023</v>
      </c>
      <c r="F27">
        <f t="shared" si="0"/>
        <v>2023</v>
      </c>
      <c r="G27" s="1">
        <v>26400</v>
      </c>
      <c r="H27" t="s">
        <v>19</v>
      </c>
      <c r="I27" t="s">
        <v>19</v>
      </c>
      <c r="J27" t="s">
        <v>19</v>
      </c>
      <c r="K27" t="s">
        <v>20</v>
      </c>
      <c r="O27" s="4">
        <v>44887</v>
      </c>
      <c r="P27" s="4">
        <v>45260</v>
      </c>
      <c r="Q27" t="s">
        <v>88</v>
      </c>
      <c r="T27" t="s">
        <v>20</v>
      </c>
      <c r="U27" t="s">
        <v>20</v>
      </c>
      <c r="V27" t="s">
        <v>20</v>
      </c>
    </row>
    <row r="28" spans="1:23" x14ac:dyDescent="0.45">
      <c r="A28" t="s">
        <v>15</v>
      </c>
      <c r="B28" t="s">
        <v>89</v>
      </c>
      <c r="C28" t="s">
        <v>90</v>
      </c>
      <c r="D28" t="s">
        <v>91</v>
      </c>
      <c r="E28" t="s">
        <v>92</v>
      </c>
      <c r="F28">
        <v>2023</v>
      </c>
      <c r="G28" s="1">
        <v>58875</v>
      </c>
      <c r="H28" t="s">
        <v>19</v>
      </c>
      <c r="I28" t="s">
        <v>19</v>
      </c>
      <c r="J28" t="s">
        <v>19</v>
      </c>
      <c r="M28" t="s">
        <v>20</v>
      </c>
      <c r="O28" s="4">
        <v>45261</v>
      </c>
      <c r="P28" s="4">
        <v>45291</v>
      </c>
      <c r="Q28" t="s">
        <v>88</v>
      </c>
      <c r="R28" t="s">
        <v>20</v>
      </c>
      <c r="T28" t="s">
        <v>20</v>
      </c>
      <c r="U28" t="s">
        <v>20</v>
      </c>
      <c r="V28" t="s">
        <v>20</v>
      </c>
      <c r="W28" t="s">
        <v>20</v>
      </c>
    </row>
    <row r="29" spans="1:23" x14ac:dyDescent="0.45">
      <c r="A29" t="s">
        <v>15</v>
      </c>
      <c r="B29" t="s">
        <v>93</v>
      </c>
      <c r="D29" t="s">
        <v>94</v>
      </c>
      <c r="E29">
        <v>2016</v>
      </c>
      <c r="F29">
        <f t="shared" si="0"/>
        <v>2016</v>
      </c>
      <c r="G29" s="1" t="s">
        <v>95</v>
      </c>
      <c r="H29" t="s">
        <v>19</v>
      </c>
      <c r="J29" t="s">
        <v>19</v>
      </c>
      <c r="K29" t="s">
        <v>20</v>
      </c>
      <c r="T29" t="s">
        <v>20</v>
      </c>
      <c r="U29" t="s">
        <v>20</v>
      </c>
    </row>
    <row r="30" spans="1:23" x14ac:dyDescent="0.45">
      <c r="A30" t="s">
        <v>15</v>
      </c>
      <c r="B30" t="s">
        <v>96</v>
      </c>
      <c r="C30" t="s">
        <v>97</v>
      </c>
      <c r="D30" t="s">
        <v>98</v>
      </c>
      <c r="E30">
        <v>2016</v>
      </c>
      <c r="F30">
        <f t="shared" si="0"/>
        <v>2016</v>
      </c>
      <c r="G30" s="1">
        <v>6400</v>
      </c>
      <c r="H30" t="s">
        <v>19</v>
      </c>
      <c r="J30" t="s">
        <v>19</v>
      </c>
      <c r="N30" t="s">
        <v>20</v>
      </c>
      <c r="U30" t="s">
        <v>20</v>
      </c>
    </row>
    <row r="31" spans="1:23" x14ac:dyDescent="0.45">
      <c r="A31" t="s">
        <v>15</v>
      </c>
      <c r="B31" t="s">
        <v>99</v>
      </c>
      <c r="C31" t="s">
        <v>100</v>
      </c>
      <c r="D31" t="s">
        <v>101</v>
      </c>
      <c r="E31">
        <v>2017</v>
      </c>
      <c r="F31">
        <f t="shared" si="0"/>
        <v>2017</v>
      </c>
      <c r="G31" s="1">
        <v>2500</v>
      </c>
      <c r="H31" t="s">
        <v>19</v>
      </c>
      <c r="J31" t="s">
        <v>19</v>
      </c>
      <c r="K31" t="s">
        <v>20</v>
      </c>
      <c r="T31" t="s">
        <v>20</v>
      </c>
      <c r="U31" t="s">
        <v>20</v>
      </c>
    </row>
    <row r="32" spans="1:23" x14ac:dyDescent="0.45">
      <c r="A32" t="s">
        <v>15</v>
      </c>
      <c r="B32" t="s">
        <v>102</v>
      </c>
      <c r="D32" t="s">
        <v>103</v>
      </c>
      <c r="E32">
        <v>2018</v>
      </c>
      <c r="F32">
        <f t="shared" si="0"/>
        <v>2018</v>
      </c>
      <c r="G32" s="1">
        <v>10000</v>
      </c>
      <c r="H32" t="s">
        <v>19</v>
      </c>
      <c r="J32" t="s">
        <v>19</v>
      </c>
      <c r="K32" t="s">
        <v>20</v>
      </c>
      <c r="T32" t="s">
        <v>20</v>
      </c>
      <c r="U32" t="s">
        <v>20</v>
      </c>
    </row>
    <row r="33" spans="1:22" x14ac:dyDescent="0.45">
      <c r="A33" t="s">
        <v>15</v>
      </c>
      <c r="B33" t="s">
        <v>104</v>
      </c>
      <c r="D33" t="s">
        <v>105</v>
      </c>
      <c r="E33">
        <v>2022</v>
      </c>
      <c r="F33">
        <f t="shared" si="0"/>
        <v>2022</v>
      </c>
      <c r="G33" s="1">
        <v>6375</v>
      </c>
      <c r="H33" t="s">
        <v>19</v>
      </c>
      <c r="J33" t="s">
        <v>19</v>
      </c>
      <c r="N33" t="s">
        <v>20</v>
      </c>
      <c r="U33" t="s">
        <v>20</v>
      </c>
    </row>
    <row r="34" spans="1:22" x14ac:dyDescent="0.45">
      <c r="A34" t="s">
        <v>106</v>
      </c>
      <c r="B34" t="s">
        <v>106</v>
      </c>
      <c r="C34" t="s">
        <v>107</v>
      </c>
      <c r="D34" t="s">
        <v>108</v>
      </c>
      <c r="E34">
        <v>2014</v>
      </c>
      <c r="F34">
        <f t="shared" si="0"/>
        <v>2014</v>
      </c>
      <c r="G34" s="1" t="s">
        <v>62</v>
      </c>
      <c r="H34" t="s">
        <v>19</v>
      </c>
      <c r="J34" t="s">
        <v>19</v>
      </c>
      <c r="M34" t="s">
        <v>20</v>
      </c>
      <c r="U34" t="s">
        <v>20</v>
      </c>
    </row>
    <row r="35" spans="1:22" x14ac:dyDescent="0.45">
      <c r="A35" t="s">
        <v>15</v>
      </c>
      <c r="B35" t="s">
        <v>109</v>
      </c>
      <c r="C35" t="s">
        <v>110</v>
      </c>
      <c r="D35" t="s">
        <v>111</v>
      </c>
      <c r="E35" t="s">
        <v>112</v>
      </c>
      <c r="F35">
        <v>20241</v>
      </c>
      <c r="G35" s="1">
        <v>5075</v>
      </c>
      <c r="I35" t="s">
        <v>19</v>
      </c>
      <c r="K35" t="s">
        <v>20</v>
      </c>
      <c r="U35" t="s">
        <v>20</v>
      </c>
    </row>
    <row r="36" spans="1:22" ht="42.75" x14ac:dyDescent="0.45">
      <c r="A36" t="s">
        <v>15</v>
      </c>
      <c r="B36" t="s">
        <v>113</v>
      </c>
      <c r="C36" t="s">
        <v>110</v>
      </c>
      <c r="D36" s="2" t="s">
        <v>114</v>
      </c>
      <c r="E36">
        <v>2023</v>
      </c>
      <c r="F36">
        <f t="shared" si="0"/>
        <v>2023</v>
      </c>
      <c r="G36" s="1">
        <v>4400</v>
      </c>
      <c r="I36" t="s">
        <v>19</v>
      </c>
      <c r="N36" t="s">
        <v>20</v>
      </c>
      <c r="U36" t="s">
        <v>20</v>
      </c>
    </row>
    <row r="37" spans="1:22" x14ac:dyDescent="0.45">
      <c r="A37" t="s">
        <v>15</v>
      </c>
      <c r="B37" t="s">
        <v>115</v>
      </c>
      <c r="C37" t="s">
        <v>22</v>
      </c>
      <c r="D37" t="s">
        <v>116</v>
      </c>
      <c r="E37">
        <v>2022</v>
      </c>
      <c r="F37">
        <f t="shared" si="0"/>
        <v>2022</v>
      </c>
      <c r="G37" s="1">
        <v>7000</v>
      </c>
      <c r="I37" t="s">
        <v>19</v>
      </c>
      <c r="L37" t="s">
        <v>20</v>
      </c>
      <c r="M37" t="s">
        <v>20</v>
      </c>
      <c r="R37" t="s">
        <v>20</v>
      </c>
      <c r="U37" t="s">
        <v>20</v>
      </c>
    </row>
    <row r="38" spans="1:22" x14ac:dyDescent="0.45">
      <c r="A38" t="s">
        <v>15</v>
      </c>
      <c r="B38" t="s">
        <v>117</v>
      </c>
      <c r="D38" t="s">
        <v>118</v>
      </c>
      <c r="E38">
        <v>2023</v>
      </c>
      <c r="F38">
        <f t="shared" si="0"/>
        <v>2023</v>
      </c>
      <c r="G38" s="1">
        <v>13200</v>
      </c>
      <c r="I38" t="s">
        <v>19</v>
      </c>
      <c r="L38" t="s">
        <v>20</v>
      </c>
      <c r="M38" t="s">
        <v>20</v>
      </c>
      <c r="R38" t="s">
        <v>20</v>
      </c>
      <c r="T38" t="s">
        <v>20</v>
      </c>
      <c r="U38" t="s">
        <v>20</v>
      </c>
    </row>
    <row r="39" spans="1:22" x14ac:dyDescent="0.45">
      <c r="A39" t="s">
        <v>15</v>
      </c>
      <c r="B39" t="s">
        <v>119</v>
      </c>
      <c r="C39" t="s">
        <v>120</v>
      </c>
      <c r="D39" t="s">
        <v>121</v>
      </c>
      <c r="E39">
        <v>2023</v>
      </c>
      <c r="F39">
        <f t="shared" si="0"/>
        <v>2023</v>
      </c>
      <c r="G39" s="1">
        <v>3400</v>
      </c>
      <c r="I39" t="s">
        <v>19</v>
      </c>
      <c r="L39" t="s">
        <v>20</v>
      </c>
      <c r="T39" t="s">
        <v>20</v>
      </c>
    </row>
    <row r="40" spans="1:22" x14ac:dyDescent="0.45">
      <c r="A40" t="s">
        <v>15</v>
      </c>
      <c r="B40" t="s">
        <v>122</v>
      </c>
      <c r="C40" t="s">
        <v>123</v>
      </c>
      <c r="D40" t="s">
        <v>124</v>
      </c>
      <c r="E40" t="s">
        <v>125</v>
      </c>
      <c r="F40">
        <v>20243</v>
      </c>
      <c r="G40" s="1">
        <f>6300*2</f>
        <v>12600</v>
      </c>
      <c r="I40" t="s">
        <v>19</v>
      </c>
      <c r="L40" t="s">
        <v>20</v>
      </c>
      <c r="U40" t="s">
        <v>20</v>
      </c>
      <c r="V40" t="s">
        <v>20</v>
      </c>
    </row>
    <row r="41" spans="1:22" x14ac:dyDescent="0.45">
      <c r="A41" t="s">
        <v>15</v>
      </c>
      <c r="B41" t="s">
        <v>122</v>
      </c>
      <c r="C41" t="s">
        <v>123</v>
      </c>
      <c r="D41" t="s">
        <v>126</v>
      </c>
      <c r="E41">
        <v>2022</v>
      </c>
      <c r="F41">
        <f t="shared" si="0"/>
        <v>2022</v>
      </c>
      <c r="G41" s="1">
        <v>6300</v>
      </c>
      <c r="I41" t="s">
        <v>19</v>
      </c>
      <c r="L41" t="s">
        <v>20</v>
      </c>
      <c r="U41" t="s">
        <v>20</v>
      </c>
      <c r="V41" t="s">
        <v>20</v>
      </c>
    </row>
    <row r="42" spans="1:22" x14ac:dyDescent="0.45">
      <c r="A42" t="s">
        <v>15</v>
      </c>
      <c r="B42" t="s">
        <v>127</v>
      </c>
      <c r="C42" t="s">
        <v>32</v>
      </c>
      <c r="D42" t="s">
        <v>128</v>
      </c>
      <c r="E42">
        <v>2022</v>
      </c>
      <c r="F42">
        <f t="shared" si="0"/>
        <v>2022</v>
      </c>
      <c r="G42" s="1">
        <v>3570</v>
      </c>
      <c r="I42" t="s">
        <v>19</v>
      </c>
      <c r="L42" t="s">
        <v>20</v>
      </c>
      <c r="U42" t="s">
        <v>20</v>
      </c>
    </row>
    <row r="43" spans="1:22" x14ac:dyDescent="0.45">
      <c r="A43" t="s">
        <v>15</v>
      </c>
      <c r="B43" t="s">
        <v>129</v>
      </c>
      <c r="C43" t="s">
        <v>22</v>
      </c>
      <c r="D43" t="s">
        <v>130</v>
      </c>
      <c r="E43">
        <v>2024</v>
      </c>
      <c r="F43">
        <v>20245</v>
      </c>
      <c r="G43" s="1">
        <v>48400</v>
      </c>
      <c r="H43" t="s">
        <v>19</v>
      </c>
      <c r="I43" t="s">
        <v>19</v>
      </c>
      <c r="J43" t="s">
        <v>19</v>
      </c>
      <c r="N43" t="s">
        <v>20</v>
      </c>
      <c r="O43" s="4">
        <v>45310</v>
      </c>
      <c r="P43" s="4">
        <v>45657</v>
      </c>
      <c r="Q43" t="s">
        <v>131</v>
      </c>
      <c r="U43" t="s">
        <v>20</v>
      </c>
    </row>
    <row r="44" spans="1:22" x14ac:dyDescent="0.45">
      <c r="A44" t="s">
        <v>15</v>
      </c>
      <c r="B44" t="s">
        <v>132</v>
      </c>
      <c r="C44" t="s">
        <v>22</v>
      </c>
      <c r="D44" t="s">
        <v>133</v>
      </c>
      <c r="E44">
        <v>2024</v>
      </c>
      <c r="F44">
        <v>20244</v>
      </c>
      <c r="G44" s="1">
        <v>9750</v>
      </c>
      <c r="I44" t="s">
        <v>19</v>
      </c>
      <c r="L44" t="s">
        <v>20</v>
      </c>
      <c r="M44" t="s">
        <v>20</v>
      </c>
      <c r="O44" s="4">
        <v>45323</v>
      </c>
      <c r="P44" s="4">
        <v>45627</v>
      </c>
      <c r="Q44" t="s">
        <v>131</v>
      </c>
      <c r="U44" t="s">
        <v>20</v>
      </c>
    </row>
    <row r="45" spans="1:22" x14ac:dyDescent="0.45">
      <c r="A45" t="s">
        <v>15</v>
      </c>
      <c r="B45" t="s">
        <v>134</v>
      </c>
      <c r="D45" t="s">
        <v>135</v>
      </c>
      <c r="E45">
        <v>2024</v>
      </c>
      <c r="F45">
        <v>20242</v>
      </c>
      <c r="G45" s="1">
        <f>800*20</f>
        <v>16000</v>
      </c>
      <c r="I45" t="s">
        <v>19</v>
      </c>
      <c r="L45" t="s">
        <v>20</v>
      </c>
      <c r="N45" t="s">
        <v>20</v>
      </c>
      <c r="O45" s="4">
        <v>45323</v>
      </c>
      <c r="P45" s="4">
        <v>45473</v>
      </c>
      <c r="U45" t="s">
        <v>20</v>
      </c>
      <c r="V45" t="s">
        <v>20</v>
      </c>
    </row>
    <row r="46" spans="1:22" x14ac:dyDescent="0.45">
      <c r="A46" t="s">
        <v>15</v>
      </c>
      <c r="B46" t="s">
        <v>136</v>
      </c>
      <c r="C46" t="s">
        <v>137</v>
      </c>
      <c r="D46" t="s">
        <v>138</v>
      </c>
      <c r="E46">
        <v>2024</v>
      </c>
      <c r="F46">
        <v>20246</v>
      </c>
      <c r="G46" s="1">
        <v>17213</v>
      </c>
      <c r="H46" t="s">
        <v>19</v>
      </c>
      <c r="I46" t="s">
        <v>19</v>
      </c>
      <c r="J46" t="s">
        <v>19</v>
      </c>
      <c r="N46" t="s">
        <v>20</v>
      </c>
      <c r="O46" s="4">
        <v>45323</v>
      </c>
      <c r="P46" s="4">
        <v>45566</v>
      </c>
      <c r="U46" t="s">
        <v>20</v>
      </c>
    </row>
    <row r="47" spans="1:22" x14ac:dyDescent="0.45">
      <c r="A47" t="s">
        <v>15</v>
      </c>
      <c r="B47" t="s">
        <v>139</v>
      </c>
      <c r="D47" t="s">
        <v>140</v>
      </c>
      <c r="E47" t="s">
        <v>156</v>
      </c>
      <c r="F47">
        <v>2023</v>
      </c>
      <c r="G47" s="1">
        <v>184000</v>
      </c>
      <c r="H47" t="s">
        <v>19</v>
      </c>
      <c r="J47" t="s">
        <v>19</v>
      </c>
      <c r="M47" t="s">
        <v>20</v>
      </c>
      <c r="O47" s="4">
        <v>45108</v>
      </c>
      <c r="P47" s="4">
        <v>46053</v>
      </c>
      <c r="T47" t="s">
        <v>20</v>
      </c>
      <c r="U47" t="s">
        <v>20</v>
      </c>
      <c r="V47" t="s">
        <v>20</v>
      </c>
    </row>
    <row r="48" spans="1:22" x14ac:dyDescent="0.45">
      <c r="A48" t="s">
        <v>15</v>
      </c>
      <c r="B48" t="s">
        <v>141</v>
      </c>
      <c r="D48" t="s">
        <v>142</v>
      </c>
      <c r="E48">
        <v>2024</v>
      </c>
      <c r="F48">
        <v>20247</v>
      </c>
      <c r="G48" s="1">
        <f>800*10</f>
        <v>8000</v>
      </c>
      <c r="I48" t="s">
        <v>19</v>
      </c>
      <c r="N48" t="s">
        <v>20</v>
      </c>
      <c r="O48" s="4">
        <v>45566</v>
      </c>
      <c r="P48" s="4">
        <v>45657</v>
      </c>
      <c r="T48" t="s">
        <v>20</v>
      </c>
      <c r="U48" t="s">
        <v>20</v>
      </c>
    </row>
    <row r="49" spans="1:22" x14ac:dyDescent="0.45">
      <c r="A49" t="s">
        <v>15</v>
      </c>
      <c r="B49" t="s">
        <v>86</v>
      </c>
      <c r="D49" t="s">
        <v>143</v>
      </c>
      <c r="E49">
        <v>2024</v>
      </c>
      <c r="F49">
        <v>20248</v>
      </c>
      <c r="G49" s="1">
        <v>16200</v>
      </c>
      <c r="I49" t="s">
        <v>19</v>
      </c>
      <c r="N49" t="s">
        <v>20</v>
      </c>
      <c r="O49" s="4">
        <v>45536</v>
      </c>
      <c r="P49" s="4">
        <v>45657</v>
      </c>
      <c r="T49" t="s">
        <v>20</v>
      </c>
      <c r="U49" t="s">
        <v>20</v>
      </c>
      <c r="V49" t="s">
        <v>20</v>
      </c>
    </row>
    <row r="50" spans="1:22" x14ac:dyDescent="0.45">
      <c r="A50" t="s">
        <v>15</v>
      </c>
      <c r="B50" t="s">
        <v>22</v>
      </c>
      <c r="D50" t="s">
        <v>144</v>
      </c>
      <c r="E50">
        <v>2025</v>
      </c>
      <c r="F50">
        <v>20249</v>
      </c>
      <c r="G50" s="1">
        <v>1700</v>
      </c>
      <c r="I50" t="s">
        <v>19</v>
      </c>
      <c r="M50" t="s">
        <v>20</v>
      </c>
      <c r="O50" s="4">
        <v>45689</v>
      </c>
      <c r="P50" s="4">
        <v>45703</v>
      </c>
      <c r="U50" t="s">
        <v>20</v>
      </c>
    </row>
    <row r="51" spans="1:22" x14ac:dyDescent="0.45">
      <c r="A51" t="s">
        <v>15</v>
      </c>
      <c r="B51" t="s">
        <v>145</v>
      </c>
      <c r="C51" t="s">
        <v>146</v>
      </c>
      <c r="D51" t="s">
        <v>147</v>
      </c>
      <c r="E51">
        <v>2025</v>
      </c>
      <c r="F51">
        <v>2025</v>
      </c>
      <c r="G51" s="1">
        <f>2.5*750</f>
        <v>1875</v>
      </c>
      <c r="I51" t="s">
        <v>19</v>
      </c>
      <c r="O51" s="4">
        <v>45690</v>
      </c>
      <c r="P51" s="4">
        <v>45746</v>
      </c>
      <c r="U51" t="s">
        <v>20</v>
      </c>
    </row>
    <row r="52" spans="1:22" x14ac:dyDescent="0.45">
      <c r="A52" t="s">
        <v>15</v>
      </c>
      <c r="B52" t="s">
        <v>149</v>
      </c>
      <c r="C52" t="s">
        <v>148</v>
      </c>
      <c r="D52" t="s">
        <v>150</v>
      </c>
      <c r="E52">
        <v>2025</v>
      </c>
      <c r="F52">
        <v>2025</v>
      </c>
      <c r="G52" s="1">
        <v>24000</v>
      </c>
      <c r="H52" t="s">
        <v>19</v>
      </c>
      <c r="I52" t="s">
        <v>19</v>
      </c>
      <c r="N52" t="s">
        <v>20</v>
      </c>
      <c r="O52" s="4">
        <v>45718</v>
      </c>
      <c r="T52" t="s">
        <v>20</v>
      </c>
      <c r="U52" t="s">
        <v>20</v>
      </c>
    </row>
    <row r="53" spans="1:22" x14ac:dyDescent="0.45">
      <c r="A53" t="s">
        <v>15</v>
      </c>
      <c r="B53" t="s">
        <v>152</v>
      </c>
      <c r="D53" t="s">
        <v>153</v>
      </c>
      <c r="E53">
        <v>2025</v>
      </c>
      <c r="F53">
        <v>2025</v>
      </c>
      <c r="G53" s="1">
        <v>4250</v>
      </c>
      <c r="I53" t="s">
        <v>19</v>
      </c>
      <c r="N53" t="s">
        <v>20</v>
      </c>
      <c r="O53" s="4">
        <v>45901</v>
      </c>
      <c r="P53" s="4">
        <v>46022</v>
      </c>
      <c r="T53" t="s">
        <v>20</v>
      </c>
    </row>
    <row r="54" spans="1:22" ht="28.5" x14ac:dyDescent="0.45">
      <c r="A54" t="s">
        <v>15</v>
      </c>
      <c r="B54" t="s">
        <v>117</v>
      </c>
      <c r="D54" s="2" t="s">
        <v>154</v>
      </c>
      <c r="E54">
        <v>2025</v>
      </c>
      <c r="F54">
        <v>2025</v>
      </c>
      <c r="G54" s="1">
        <v>3000</v>
      </c>
      <c r="I54" t="s">
        <v>19</v>
      </c>
      <c r="M54" t="s">
        <v>20</v>
      </c>
      <c r="O54" s="4">
        <v>45901</v>
      </c>
      <c r="P54" s="4">
        <v>46022</v>
      </c>
      <c r="T54" t="s">
        <v>20</v>
      </c>
      <c r="U54" t="s">
        <v>20</v>
      </c>
    </row>
    <row r="55" spans="1:22" x14ac:dyDescent="0.45">
      <c r="A55" t="s">
        <v>15</v>
      </c>
      <c r="B55" t="s">
        <v>89</v>
      </c>
      <c r="D55" t="s">
        <v>155</v>
      </c>
      <c r="E55">
        <v>2025</v>
      </c>
      <c r="F55">
        <v>2025</v>
      </c>
      <c r="G55" s="1">
        <f>850*3.5</f>
        <v>2975</v>
      </c>
      <c r="I55" t="s">
        <v>19</v>
      </c>
      <c r="O55" s="4">
        <v>45931</v>
      </c>
      <c r="P55" s="4">
        <v>46052</v>
      </c>
      <c r="U55" t="s">
        <v>20</v>
      </c>
    </row>
    <row r="56" spans="1:22" x14ac:dyDescent="0.45">
      <c r="A56" t="s">
        <v>15</v>
      </c>
      <c r="B56" t="s">
        <v>163</v>
      </c>
      <c r="D56" t="s">
        <v>164</v>
      </c>
      <c r="E56">
        <v>2025</v>
      </c>
      <c r="F56">
        <f t="shared" ref="F56" si="1">E56</f>
        <v>2025</v>
      </c>
      <c r="G56" s="1">
        <v>82500</v>
      </c>
      <c r="H56" t="s">
        <v>19</v>
      </c>
      <c r="J56" t="s">
        <v>19</v>
      </c>
      <c r="L56" t="s">
        <v>20</v>
      </c>
      <c r="M56" t="s">
        <v>20</v>
      </c>
      <c r="N56" t="s">
        <v>20</v>
      </c>
      <c r="O56" s="4">
        <v>45717</v>
      </c>
      <c r="U56" t="s">
        <v>20</v>
      </c>
    </row>
    <row r="57" spans="1:22" x14ac:dyDescent="0.45">
      <c r="A57" t="s">
        <v>15</v>
      </c>
      <c r="B57" t="s">
        <v>51</v>
      </c>
      <c r="C57" t="s">
        <v>52</v>
      </c>
      <c r="D57" t="s">
        <v>170</v>
      </c>
      <c r="E57">
        <v>2026</v>
      </c>
      <c r="F57">
        <v>2026</v>
      </c>
      <c r="G57" s="1">
        <v>800</v>
      </c>
      <c r="H57" t="s">
        <v>19</v>
      </c>
      <c r="J57" t="s">
        <v>19</v>
      </c>
      <c r="L57" t="s">
        <v>20</v>
      </c>
      <c r="O57" s="4">
        <v>46174</v>
      </c>
      <c r="P57" s="4">
        <v>46204</v>
      </c>
      <c r="T57" t="s">
        <v>20</v>
      </c>
    </row>
    <row r="58" spans="1:22" x14ac:dyDescent="0.45">
      <c r="A58" t="s">
        <v>15</v>
      </c>
      <c r="B58" t="s">
        <v>166</v>
      </c>
      <c r="C58" t="s">
        <v>165</v>
      </c>
      <c r="D58" t="s">
        <v>169</v>
      </c>
      <c r="E58">
        <v>2026</v>
      </c>
      <c r="F58">
        <v>2026</v>
      </c>
      <c r="G58" s="1">
        <v>800</v>
      </c>
      <c r="H58" t="s">
        <v>19</v>
      </c>
      <c r="J58" t="s">
        <v>19</v>
      </c>
      <c r="N58" t="s">
        <v>20</v>
      </c>
      <c r="O58" s="4">
        <v>46174</v>
      </c>
      <c r="P58" s="4">
        <v>46204</v>
      </c>
      <c r="U58" t="s">
        <v>20</v>
      </c>
    </row>
    <row r="59" spans="1:22" x14ac:dyDescent="0.45">
      <c r="A59" t="s">
        <v>15</v>
      </c>
      <c r="B59" t="s">
        <v>167</v>
      </c>
      <c r="C59" t="s">
        <v>84</v>
      </c>
      <c r="D59" t="s">
        <v>168</v>
      </c>
      <c r="E59">
        <v>2026</v>
      </c>
      <c r="F59">
        <v>2026</v>
      </c>
      <c r="G59" s="1">
        <v>13340</v>
      </c>
      <c r="H59" t="s">
        <v>19</v>
      </c>
      <c r="J59" t="s">
        <v>19</v>
      </c>
      <c r="N59" t="s">
        <v>20</v>
      </c>
      <c r="O59" s="4">
        <v>46082</v>
      </c>
      <c r="P59" s="4"/>
      <c r="U59" t="s">
        <v>20</v>
      </c>
    </row>
  </sheetData>
  <autoFilter ref="A1:W59" xr:uid="{D9B3B7FE-E50F-4A1F-B29E-52CC043F3381}"/>
  <sortState xmlns:xlrd2="http://schemas.microsoft.com/office/spreadsheetml/2017/richdata2" ref="A2:I34">
    <sortCondition ref="E2:E34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Arnaud</dc:creator>
  <cp:keywords/>
  <dc:description/>
  <cp:lastModifiedBy>Arnaud Milet</cp:lastModifiedBy>
  <cp:revision/>
  <dcterms:created xsi:type="dcterms:W3CDTF">2022-12-05T09:17:32Z</dcterms:created>
  <dcterms:modified xsi:type="dcterms:W3CDTF">2026-08-21T13:19:09Z</dcterms:modified>
  <cp:category/>
  <cp:contentStatus/>
</cp:coreProperties>
</file>